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G19"/>
  <c r="D15"/>
  <c r="G15"/>
  <c r="G2"/>
</calcChain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<sst xmlns="http://schemas.openxmlformats.org/spreadsheetml/2006/main">
  <si>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</si>
  <si>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</si>
  <si>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</si>
  <si>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</si>
  <si>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Tax Code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</si>
  <si>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</si>
  <si>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</si>
  <si>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</si>
  <si>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</si>
  <si>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</si>
  <si>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</si>
  <si>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</si>
  <si>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</si>
  <si>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</si>
  <si>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</si>
  <si>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</si>
  <si>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</si>
  <si>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</si>
  <si>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2025-11-28</t>
  </si>
  <si>
    <t>J. Sultana Beverages, Wines &amp; Spirits - Beverages including water and soft drinks</t>
  </si>
  <si>
    <t>EUR</t>
  </si>
  <si>
    <t>Pinto 1.pdf</t>
  </si>
  <si>
    <t>ocr</t>
  </si>
  <si>
    <t>ok</t>
  </si>
  <si>
    <t>J. Sultana Beverages, Wines &amp; Spirits</t>
  </si>
  <si>
    <t>Beverages including water and soft drinks</t>
  </si>
  <si>
    <t>28/11/2025</t>
  </si>
  <si>
    <t>369.11€</t>
  </si>
  <si>
    <t>56.32€</t>
  </si>
  <si>
    <t>425.43€</t>
  </si>
  <si>
    <t>J. Sultana Beverages, Wines &amp; Spirits - bcrs</t>
  </si>
  <si>
    <t>2025-12-01</t>
  </si>
  <si>
    <t>J26550</t>
  </si>
  <si>
    <t>Jesper - Sale of bakery products including baguettes and brioche</t>
  </si>
  <si>
    <t>David Debono</t>
  </si>
  <si>
    <t>Sale of bakery products including baguettes and brioche</t>
  </si>
  <si>
    <t>Mon 01-Dec-2025</t>
  </si>
  <si>
    <t>33.64</t>
  </si>
  <si>
    <t>0.00</t>
  </si>
  <si>
    <t>INV1010586</t>
  </si>
  <si>
    <t>Mafimex Ltd. - Invoice for fruit and vegetable delivery</t>
  </si>
  <si>
    <t>Mafimex Ltd.</t>
  </si>
  <si>
    <t>Invoice for fruit and vegetable delivery</t>
  </si>
  <si>
    <t>01/12/2025</t>
  </si>
  <si>
    <t>52.04</t>
  </si>
  <si>
    <t>#25077</t>
  </si>
  <si>
    <t>Dione Busuttil - Sale of various tobacco products</t>
  </si>
  <si>
    <t>Dione Busuttil</t>
  </si>
  <si>
    <t>Sale of various tobacco products</t>
  </si>
  <si>
    <t>01/12/25</t>
  </si>
  <si>
    <t>3378.68</t>
  </si>
  <si>
    <t>608.16</t>
  </si>
  <si>
    <t>3986.84</t>
  </si>
  <si>
    <t>10459187</t>
  </si>
  <si>
    <t>N.Calleja Trading Ent. Ltd. - Supply of poultry rolls and peas</t>
  </si>
  <si>
    <t>N.Calleja Trading Ent. Ltd.</t>
  </si>
  <si>
    <t>Supply of poultry rolls and peas</t>
  </si>
  <si>
    <t>1-Dec-2025</t>
  </si>
  <si>
    <t>46.20</t>
  </si>
  <si>
    <t>BA10445425</t>
  </si>
  <si>
    <t>Borg and Aquilina Ltd. - Invoice for evaporated milk and kunserva</t>
  </si>
  <si>
    <t>Borg and Aquilina Ltd.</t>
  </si>
  <si>
    <t>Invoice for evaporated milk and kunserva</t>
  </si>
  <si>
    <t>60.01</t>
  </si>
  <si>
    <t>10458901</t>
  </si>
  <si>
    <t>N.Calleja Trading Ent. Ltd. - Sale of olive oil mix</t>
  </si>
  <si>
    <t>Sale of olive oil mix</t>
  </si>
  <si>
    <t>52.50</t>
  </si>
  <si>
    <t>2025-12-02</t>
  </si>
  <si>
    <t>INV1010959</t>
  </si>
  <si>
    <t>02/12/2025</t>
  </si>
  <si>
    <t>29.70</t>
  </si>
  <si>
    <t>INV1011069</t>
  </si>
  <si>
    <t>24.00</t>
  </si>
  <si>
    <t>2025-12-03</t>
  </si>
  <si>
    <t>SIN0697423</t>
  </si>
  <si>
    <t>CassarCamilleri Marketing Sales &amp; Distribution Ltd - Sale of beverages including peach and orange drinks</t>
  </si>
  <si>
    <t>CassarCamilleri Marketing Sales &amp; Distribution Ltd</t>
  </si>
  <si>
    <t>Sale of beverages including peach and orange drinks</t>
  </si>
  <si>
    <t>03/12/2025</t>
  </si>
  <si>
    <t>58.29</t>
  </si>
  <si>
    <t>10.49</t>
  </si>
  <si>
    <t>68.78</t>
  </si>
  <si>
    <t>INV1011191</t>
  </si>
  <si>
    <t>33.53</t>
  </si>
  <si>
    <t>122250092</t>
  </si>
  <si>
    <t>NESTLE’ MALTA LIMITED - Invoice for Nescafe products sold</t>
  </si>
  <si>
    <t>ocr_totals_mismatch</t>
  </si>
  <si>
    <t>NESTLE’ MALTA LIMITED</t>
  </si>
  <si>
    <t>Invoice for Nescafe products sold</t>
  </si>
  <si>
    <t>02.12.2025</t>
  </si>
  <si>
    <t>132.32</t>
  </si>
  <si>
    <t>6.69</t>
  </si>
  <si>
    <t>138.01</t>
  </si>
  <si>
    <t>BCRS/P/21-01425</t>
  </si>
  <si>
    <t>FARSONS GROUP Simonds Farsons Cisk p.l.c. - Sale of beverages including beer and soft drinks</t>
  </si>
  <si>
    <t>BARSONS GROUP Simonds Farsons Cisk p.l.c.</t>
  </si>
  <si>
    <t>Sale of beverages including beer and soft drinks</t>
  </si>
  <si>
    <t>2-DEC-2025</t>
  </si>
  <si>
    <t>338.50</t>
  </si>
  <si>
    <t>46.97</t>
  </si>
  <si>
    <t>260.93</t>
  </si>
  <si>
    <t>FARSONS GROUP Simonds Farsons Cisk p.l.c. - BCRS</t>
  </si>
  <si>
    <t>J26631</t>
  </si>
  <si>
    <t>JESPER'S By David Distributor - Sale of bakery products including baguettes and ftira</t>
  </si>
  <si>
    <t>J ESPER'S By David Distributor</t>
  </si>
  <si>
    <t>Sale of bakery products including baguettes and ftira</t>
  </si>
  <si>
    <t>Wed 03-Dec-2025</t>
  </si>
  <si>
    <t>23.91</t>
  </si>
  <si>
    <t>SIN1488802</t>
  </si>
  <si>
    <t>Nectar Limited - Cash sale for hard cheese shavings</t>
  </si>
  <si>
    <t>Nectar Limited</t>
  </si>
  <si>
    <t>Cash sale for hard cheese shavings</t>
  </si>
  <si>
    <t>39.25</t>
  </si>
  <si>
    <t>SIN1488803</t>
  </si>
  <si>
    <t>fa e Nectar Limited</t>
  </si>
  <si>
    <t>Sale of food items including ketchup and coffee</t>
  </si>
  <si>
    <t>21.70</t>
  </si>
  <si>
    <t>7.65</t>
  </si>
  <si>
    <t>24.23</t>
  </si>
  <si>
    <t>Vernons (Manufacturing) Ltd. - Invoice details for goods delivered.</t>
  </si>
  <si>
    <t>Vernons (Manufacturing) Ltd.</t>
  </si>
  <si>
    <t>Invoice details for goods delivered.</t>
  </si>
  <si>
    <t>2025-12-04</t>
  </si>
  <si>
    <t>INV1011363</t>
  </si>
  <si>
    <t>Pinto 1-2.pdf</t>
  </si>
  <si>
    <t>04/12/2025</t>
  </si>
  <si>
    <t>30.65</t>
  </si>
  <si>
    <t>3535</t>
  </si>
  <si>
    <t>Dolceria D oro - Invoice for Mqaret dessert boxes</t>
  </si>
  <si>
    <t>Dolceria D oro</t>
  </si>
  <si>
    <t>Invoice for Mqaret dessert boxes</t>
  </si>
  <si>
    <t>€70.00</t>
  </si>
  <si>
    <t>€12.60</t>
  </si>
  <si>
    <t>€82.60</t>
  </si>
  <si>
    <t>J26680</t>
  </si>
  <si>
    <t>David Debono - Food items including ftira and baguette</t>
  </si>
  <si>
    <t>Food items including ftira and baguette</t>
  </si>
  <si>
    <t>Thu 04-Dec-2025</t>
  </si>
  <si>
    <t>21.71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</si>
</sst>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24" sqref="B24"/>
    </sheetView>
  </sheetViews>
  <sheetFormatPr defaultRowHeight="15"/>
  <cols>
    <col min="1" max="1" width="11.85547" bestFit="1" customWidth="1"/>
    <col min="2" max="2" width="18.85547" bestFit="1" customWidth="1"/>
    <col min="3" max="3" width="92.57031" bestFit="1" customWidth="1"/>
    <col min="4" max="4" width="11.85547" bestFit="1" customWidth="1"/>
    <col min="5" max="5" width="9" bestFit="1" customWidth="1"/>
    <col min="6" max="6" width="11.57031" bestFit="1" customWidth="1"/>
    <col min="7" max="7" width="8" bestFit="1" customWidth="1"/>
    <col min="8" max="8" width="8.855469" bestFit="1" customWidth="1"/>
    <col min="9" max="9" width="5.285156" bestFit="1" customWidth="1"/>
    <col min="10" max="10" width="10.85547" bestFit="1" customWidth="1"/>
    <col min="11" max="11" width="8.140625" bestFit="1" customWidth="1"/>
    <col min="12" max="12" width="19.28516" bestFit="1" customWidth="1"/>
    <col min="13" max="13" width="45" bestFit="1" customWidth="1"/>
    <col min="14" max="14" width="50.28516" bestFit="1" customWidth="1"/>
    <col min="15" max="15" width="16.57031" bestFit="1" customWidth="1"/>
    <col min="16" max="16" width="16" bestFit="1" customWidth="1"/>
    <col min="17" max="17" width="15.71094" bestFit="1" customWidth="1"/>
    <col min="18" max="18" width="17.1406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>
        <v>855029</v>
      </c>
      <c r="C2" t="s">
        <v>19</v>
      </c>
      <c r="D2">
        <v>312.83999999999997</v>
      </c>
      <c r="F2">
        <v>56.32</v>
      </c>
      <c r="G2">
        <f>D2+F2</f>
        <v>369.15999999999997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>
      <c r="A3" t="s">
        <v>18</v>
      </c>
      <c r="B3">
        <v>855029</v>
      </c>
      <c r="C3" t="s">
        <v>30</v>
      </c>
      <c r="D3">
        <v>48</v>
      </c>
      <c r="G3">
        <v>425.43000000000001</v>
      </c>
      <c r="H3" t="s">
        <v>20</v>
      </c>
      <c r="I3">
        <v>1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</row>
    <row r="4">
      <c r="A4" t="s">
        <v>31</v>
      </c>
      <c r="B4" t="s">
        <v>32</v>
      </c>
      <c r="C4" t="s">
        <v>33</v>
      </c>
      <c r="D4">
        <v>33.640000000000001</v>
      </c>
      <c r="F4">
        <v>0</v>
      </c>
      <c r="G4">
        <v>33.640000000000001</v>
      </c>
      <c r="H4" t="s">
        <v>20</v>
      </c>
      <c r="I4">
        <v>2</v>
      </c>
      <c r="J4" t="s">
        <v>21</v>
      </c>
      <c r="K4" t="s">
        <v>22</v>
      </c>
      <c r="L4" t="s">
        <v>23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37</v>
      </c>
    </row>
    <row r="5">
      <c r="A5" t="s">
        <v>31</v>
      </c>
      <c r="B5" t="s">
        <v>39</v>
      </c>
      <c r="C5" t="s">
        <v>40</v>
      </c>
      <c r="D5">
        <v>52.039999999999999</v>
      </c>
      <c r="F5">
        <v>0</v>
      </c>
      <c r="G5">
        <v>52.039999999999999</v>
      </c>
      <c r="H5" t="s">
        <v>20</v>
      </c>
      <c r="I5">
        <v>3</v>
      </c>
      <c r="J5" t="s">
        <v>21</v>
      </c>
      <c r="K5" t="s">
        <v>22</v>
      </c>
      <c r="L5" t="s">
        <v>23</v>
      </c>
      <c r="M5" t="s">
        <v>41</v>
      </c>
      <c r="N5" t="s">
        <v>42</v>
      </c>
      <c r="O5" t="s">
        <v>43</v>
      </c>
      <c r="P5" t="s">
        <v>44</v>
      </c>
      <c r="Q5" t="s">
        <v>38</v>
      </c>
      <c r="R5" t="s">
        <v>44</v>
      </c>
    </row>
    <row r="6">
      <c r="A6" t="s">
        <v>31</v>
      </c>
      <c r="B6" t="s">
        <v>45</v>
      </c>
      <c r="C6" t="s">
        <v>46</v>
      </c>
      <c r="D6">
        <v>3378.6799999999998</v>
      </c>
      <c r="F6">
        <v>608.15999999999997</v>
      </c>
      <c r="G6">
        <v>3986.8400000000001</v>
      </c>
      <c r="H6" t="s">
        <v>20</v>
      </c>
      <c r="I6">
        <v>4</v>
      </c>
      <c r="J6" t="s">
        <v>21</v>
      </c>
      <c r="K6" t="s">
        <v>22</v>
      </c>
      <c r="L6" t="s">
        <v>23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  <c r="R6" t="s">
        <v>52</v>
      </c>
    </row>
    <row r="7">
      <c r="A7" t="s">
        <v>31</v>
      </c>
      <c r="B7" t="s">
        <v>53</v>
      </c>
      <c r="C7" t="s">
        <v>54</v>
      </c>
      <c r="D7">
        <v>46.200000000000003</v>
      </c>
      <c r="F7">
        <v>0</v>
      </c>
      <c r="G7">
        <v>46.200000000000003</v>
      </c>
      <c r="H7" t="s">
        <v>20</v>
      </c>
      <c r="I7">
        <v>6</v>
      </c>
      <c r="J7" t="s">
        <v>21</v>
      </c>
      <c r="K7" t="s">
        <v>22</v>
      </c>
      <c r="L7" t="s">
        <v>23</v>
      </c>
      <c r="M7" t="s">
        <v>55</v>
      </c>
      <c r="N7" t="s">
        <v>56</v>
      </c>
      <c r="O7" t="s">
        <v>57</v>
      </c>
      <c r="P7" t="s">
        <v>58</v>
      </c>
      <c r="Q7" t="s">
        <v>38</v>
      </c>
      <c r="R7" t="s">
        <v>58</v>
      </c>
    </row>
    <row r="8">
      <c r="A8" t="s">
        <v>31</v>
      </c>
      <c r="B8" t="s">
        <v>59</v>
      </c>
      <c r="C8" t="s">
        <v>60</v>
      </c>
      <c r="D8">
        <v>60.009999999999998</v>
      </c>
      <c r="F8">
        <v>0</v>
      </c>
      <c r="G8">
        <v>60.009999999999998</v>
      </c>
      <c r="H8" t="s">
        <v>20</v>
      </c>
      <c r="I8">
        <v>7</v>
      </c>
      <c r="J8" t="s">
        <v>21</v>
      </c>
      <c r="K8" t="s">
        <v>22</v>
      </c>
      <c r="L8" t="s">
        <v>23</v>
      </c>
      <c r="M8" t="s">
        <v>61</v>
      </c>
      <c r="N8" t="s">
        <v>62</v>
      </c>
      <c r="O8" t="s">
        <v>57</v>
      </c>
      <c r="P8" t="s">
        <v>63</v>
      </c>
      <c r="Q8" t="s">
        <v>38</v>
      </c>
      <c r="R8" t="s">
        <v>63</v>
      </c>
    </row>
    <row r="9">
      <c r="A9" t="s">
        <v>31</v>
      </c>
      <c r="B9" t="s">
        <v>64</v>
      </c>
      <c r="C9" t="s">
        <v>65</v>
      </c>
      <c r="D9">
        <v>52.5</v>
      </c>
      <c r="F9">
        <v>0</v>
      </c>
      <c r="G9">
        <v>52.5</v>
      </c>
      <c r="H9" t="s">
        <v>20</v>
      </c>
      <c r="I9">
        <v>8</v>
      </c>
      <c r="J9" t="s">
        <v>21</v>
      </c>
      <c r="K9" t="s">
        <v>22</v>
      </c>
      <c r="L9" t="s">
        <v>23</v>
      </c>
      <c r="M9" t="s">
        <v>55</v>
      </c>
      <c r="N9" t="s">
        <v>66</v>
      </c>
      <c r="O9" t="s">
        <v>57</v>
      </c>
      <c r="P9" t="s">
        <v>67</v>
      </c>
      <c r="Q9" t="s">
        <v>38</v>
      </c>
      <c r="R9" t="s">
        <v>67</v>
      </c>
    </row>
    <row r="10">
      <c r="A10" t="s">
        <v>68</v>
      </c>
      <c r="B10" t="s">
        <v>69</v>
      </c>
      <c r="C10" t="s">
        <v>40</v>
      </c>
      <c r="D10">
        <v>29.699999999999999</v>
      </c>
      <c r="F10">
        <v>0</v>
      </c>
      <c r="G10">
        <v>29.699999999999999</v>
      </c>
      <c r="H10" t="s">
        <v>20</v>
      </c>
      <c r="I10">
        <v>9</v>
      </c>
      <c r="J10" t="s">
        <v>21</v>
      </c>
      <c r="K10" t="s">
        <v>22</v>
      </c>
      <c r="L10" t="s">
        <v>23</v>
      </c>
      <c r="M10" t="s">
        <v>41</v>
      </c>
      <c r="N10" t="s">
        <v>42</v>
      </c>
      <c r="O10" t="s">
        <v>70</v>
      </c>
      <c r="P10" t="s">
        <v>71</v>
      </c>
      <c r="Q10" t="s">
        <v>38</v>
      </c>
      <c r="R10" t="s">
        <v>71</v>
      </c>
    </row>
    <row r="11">
      <c r="A11" t="s">
        <v>68</v>
      </c>
      <c r="B11" t="s">
        <v>72</v>
      </c>
      <c r="C11" t="s">
        <v>40</v>
      </c>
      <c r="D11">
        <v>24</v>
      </c>
      <c r="F11">
        <v>0</v>
      </c>
      <c r="G11">
        <v>24</v>
      </c>
      <c r="H11" t="s">
        <v>20</v>
      </c>
      <c r="I11">
        <v>10</v>
      </c>
      <c r="J11" t="s">
        <v>21</v>
      </c>
      <c r="K11" t="s">
        <v>22</v>
      </c>
      <c r="L11" t="s">
        <v>23</v>
      </c>
      <c r="M11" t="s">
        <v>41</v>
      </c>
      <c r="N11" t="s">
        <v>42</v>
      </c>
      <c r="O11" t="s">
        <v>70</v>
      </c>
      <c r="P11" t="s">
        <v>73</v>
      </c>
      <c r="Q11" t="s">
        <v>38</v>
      </c>
      <c r="R11" t="s">
        <v>73</v>
      </c>
    </row>
    <row r="12">
      <c r="A12" t="s">
        <v>74</v>
      </c>
      <c r="B12" t="s">
        <v>75</v>
      </c>
      <c r="C12" t="s">
        <v>76</v>
      </c>
      <c r="D12">
        <v>58.289999999999999</v>
      </c>
      <c r="F12">
        <v>10.49</v>
      </c>
      <c r="G12">
        <v>68.780000000000001</v>
      </c>
      <c r="H12" t="s">
        <v>20</v>
      </c>
      <c r="I12">
        <v>11</v>
      </c>
      <c r="J12" t="s">
        <v>21</v>
      </c>
      <c r="K12" t="s">
        <v>22</v>
      </c>
      <c r="L12" t="s">
        <v>23</v>
      </c>
      <c r="M12" t="s">
        <v>77</v>
      </c>
      <c r="N12" t="s">
        <v>78</v>
      </c>
      <c r="O12" t="s">
        <v>79</v>
      </c>
      <c r="P12" t="s">
        <v>80</v>
      </c>
      <c r="Q12" t="s">
        <v>81</v>
      </c>
      <c r="R12" t="s">
        <v>82</v>
      </c>
    </row>
    <row r="13">
      <c r="A13" t="s">
        <v>74</v>
      </c>
      <c r="B13" t="s">
        <v>83</v>
      </c>
      <c r="C13" t="s">
        <v>40</v>
      </c>
      <c r="D13">
        <v>33.530000000000001</v>
      </c>
      <c r="F13">
        <v>0</v>
      </c>
      <c r="G13">
        <v>33.530000000000001</v>
      </c>
      <c r="H13" t="s">
        <v>20</v>
      </c>
      <c r="I13">
        <v>12</v>
      </c>
      <c r="J13" t="s">
        <v>21</v>
      </c>
      <c r="K13" t="s">
        <v>22</v>
      </c>
      <c r="L13" t="s">
        <v>23</v>
      </c>
      <c r="M13" t="s">
        <v>41</v>
      </c>
      <c r="N13" t="s">
        <v>42</v>
      </c>
      <c r="P13" t="s">
        <v>84</v>
      </c>
      <c r="Q13" t="s">
        <v>38</v>
      </c>
      <c r="R13" t="s">
        <v>84</v>
      </c>
    </row>
    <row r="14">
      <c r="A14" t="s">
        <v>68</v>
      </c>
      <c r="B14" t="s">
        <v>85</v>
      </c>
      <c r="C14" t="s">
        <v>86</v>
      </c>
      <c r="D14">
        <v>132.31999999999999</v>
      </c>
      <c r="G14">
        <v>132.31999999999999</v>
      </c>
      <c r="H14" t="s">
        <v>20</v>
      </c>
      <c r="I14">
        <v>13</v>
      </c>
      <c r="J14" t="s">
        <v>21</v>
      </c>
      <c r="K14" t="s">
        <v>22</v>
      </c>
      <c r="L14" t="s">
        <v>87</v>
      </c>
      <c r="M14" t="s">
        <v>88</v>
      </c>
      <c r="N14" t="s">
        <v>89</v>
      </c>
      <c r="O14" t="s">
        <v>90</v>
      </c>
      <c r="P14" t="s">
        <v>91</v>
      </c>
      <c r="Q14" t="s">
        <v>92</v>
      </c>
      <c r="R14" t="s">
        <v>93</v>
      </c>
    </row>
    <row r="15">
      <c r="A15" t="s">
        <v>68</v>
      </c>
      <c r="B15" t="s">
        <v>94</v>
      </c>
      <c r="C15" t="s">
        <v>95</v>
      </c>
      <c r="D15">
        <f>417.19-156.26</f>
        <v>260.93000000000001</v>
      </c>
      <c r="F15">
        <v>46.969999999999999</v>
      </c>
      <c r="G15">
        <f>D15+F15</f>
        <v>307.89999999999998</v>
      </c>
      <c r="H15" t="s">
        <v>20</v>
      </c>
      <c r="I15">
        <v>14</v>
      </c>
      <c r="J15" t="s">
        <v>21</v>
      </c>
      <c r="K15" t="s">
        <v>22</v>
      </c>
      <c r="L15" t="s">
        <v>87</v>
      </c>
      <c r="M15" t="s">
        <v>96</v>
      </c>
      <c r="N15" t="s">
        <v>97</v>
      </c>
      <c r="O15" t="s">
        <v>98</v>
      </c>
      <c r="P15" t="s">
        <v>99</v>
      </c>
      <c r="Q15" t="s">
        <v>100</v>
      </c>
      <c r="R15" t="s">
        <v>101</v>
      </c>
    </row>
    <row r="16">
      <c r="A16" t="s">
        <v>68</v>
      </c>
      <c r="B16" t="s">
        <v>94</v>
      </c>
      <c r="C16" t="s">
        <v>102</v>
      </c>
      <c r="D16">
        <v>30.600000000000001</v>
      </c>
      <c r="G16">
        <v>30.600000000000001</v>
      </c>
      <c r="H16" t="s">
        <v>20</v>
      </c>
      <c r="I16">
        <v>14</v>
      </c>
      <c r="J16" t="s">
        <v>21</v>
      </c>
      <c r="K16" t="s">
        <v>22</v>
      </c>
      <c r="L16" t="s">
        <v>87</v>
      </c>
      <c r="M16" t="s">
        <v>96</v>
      </c>
      <c r="N16" t="s">
        <v>97</v>
      </c>
      <c r="O16" t="s">
        <v>98</v>
      </c>
      <c r="P16" t="s">
        <v>99</v>
      </c>
      <c r="Q16" t="s">
        <v>100</v>
      </c>
      <c r="R16" t="s">
        <v>101</v>
      </c>
    </row>
    <row r="17">
      <c r="A17" t="s">
        <v>74</v>
      </c>
      <c r="B17" t="s">
        <v>103</v>
      </c>
      <c r="C17" t="s">
        <v>104</v>
      </c>
      <c r="D17">
        <v>23.91</v>
      </c>
      <c r="F17">
        <v>0</v>
      </c>
      <c r="G17">
        <v>23.91</v>
      </c>
      <c r="H17" t="s">
        <v>20</v>
      </c>
      <c r="I17">
        <v>15</v>
      </c>
      <c r="J17" t="s">
        <v>21</v>
      </c>
      <c r="K17" t="s">
        <v>22</v>
      </c>
      <c r="L17" t="s">
        <v>23</v>
      </c>
      <c r="M17" t="s">
        <v>105</v>
      </c>
      <c r="N17" t="s">
        <v>106</v>
      </c>
      <c r="O17" t="s">
        <v>107</v>
      </c>
      <c r="P17" t="s">
        <v>108</v>
      </c>
      <c r="Q17" t="s">
        <v>38</v>
      </c>
      <c r="R17" t="s">
        <v>108</v>
      </c>
    </row>
    <row r="18">
      <c r="A18" t="s">
        <v>68</v>
      </c>
      <c r="B18" t="s">
        <v>109</v>
      </c>
      <c r="C18" t="s">
        <v>110</v>
      </c>
      <c r="D18">
        <v>39.25</v>
      </c>
      <c r="F18">
        <v>0</v>
      </c>
      <c r="G18">
        <v>39.25</v>
      </c>
      <c r="H18" t="s">
        <v>20</v>
      </c>
      <c r="I18">
        <v>16</v>
      </c>
      <c r="J18" t="s">
        <v>21</v>
      </c>
      <c r="K18" t="s">
        <v>22</v>
      </c>
      <c r="L18" t="s">
        <v>23</v>
      </c>
      <c r="M18" t="s">
        <v>111</v>
      </c>
      <c r="N18" t="s">
        <v>112</v>
      </c>
      <c r="O18" t="s">
        <v>70</v>
      </c>
      <c r="P18" t="s">
        <v>113</v>
      </c>
      <c r="Q18" t="s">
        <v>38</v>
      </c>
      <c r="R18" t="s">
        <v>113</v>
      </c>
    </row>
    <row r="19">
      <c r="A19" t="s">
        <v>68</v>
      </c>
      <c r="B19" t="s">
        <v>114</v>
      </c>
      <c r="C19" t="s">
        <v>110</v>
      </c>
      <c r="D19">
        <v>14.050000000000001</v>
      </c>
      <c r="F19">
        <v>2.5299999999999998</v>
      </c>
      <c r="G19">
        <f>D19+F19</f>
        <v>16.580000000000002</v>
      </c>
      <c r="H19" t="s">
        <v>20</v>
      </c>
      <c r="I19">
        <v>17</v>
      </c>
      <c r="J19" t="s">
        <v>21</v>
      </c>
      <c r="K19" t="s">
        <v>22</v>
      </c>
      <c r="L19" t="s">
        <v>87</v>
      </c>
      <c r="M19" t="s">
        <v>115</v>
      </c>
      <c r="N19" t="s">
        <v>116</v>
      </c>
      <c r="O19" t="s">
        <v>70</v>
      </c>
      <c r="P19" t="s">
        <v>117</v>
      </c>
      <c r="Q19" t="s">
        <v>118</v>
      </c>
      <c r="R19" t="s">
        <v>119</v>
      </c>
    </row>
    <row r="20">
      <c r="A20" t="s">
        <v>68</v>
      </c>
      <c r="B20" t="s">
        <v>114</v>
      </c>
      <c r="C20" t="s">
        <v>110</v>
      </c>
      <c r="D20">
        <v>7.6500000000000004</v>
      </c>
      <c r="G20">
        <v>7.6500000000000004</v>
      </c>
      <c r="H20" t="s">
        <v>20</v>
      </c>
      <c r="I20">
        <v>17</v>
      </c>
      <c r="J20" t="s">
        <v>21</v>
      </c>
      <c r="K20" t="s">
        <v>22</v>
      </c>
      <c r="L20" t="s">
        <v>87</v>
      </c>
      <c r="M20" t="s">
        <v>115</v>
      </c>
      <c r="N20" t="s">
        <v>116</v>
      </c>
      <c r="O20" t="s">
        <v>70</v>
      </c>
      <c r="P20" t="s">
        <v>117</v>
      </c>
      <c r="Q20" t="s">
        <v>118</v>
      </c>
      <c r="R20" t="s">
        <v>119</v>
      </c>
    </row>
    <row r="21" ht="14.25" customHeight="1">
      <c r="A21" t="s">
        <v>68</v>
      </c>
      <c r="B21">
        <v>1656211</v>
      </c>
      <c r="C21" t="s">
        <v>120</v>
      </c>
      <c r="D21">
        <v>260.10000000000002</v>
      </c>
      <c r="G21">
        <v>260.10000000000002</v>
      </c>
      <c r="H21" t="s">
        <v>20</v>
      </c>
      <c r="I21">
        <v>18</v>
      </c>
      <c r="J21" t="s">
        <v>21</v>
      </c>
      <c r="K21" t="s">
        <v>22</v>
      </c>
      <c r="L21" t="s">
        <v>23</v>
      </c>
      <c r="M21" t="s">
        <v>121</v>
      </c>
      <c r="N21" t="s">
        <v>122</v>
      </c>
    </row>
    <row r="22">
      <c r="A22" s="2" t="s">
        <v>123</v>
      </c>
      <c r="B22" t="s">
        <v>124</v>
      </c>
      <c r="C22" s="2" t="s">
        <v>40</v>
      </c>
      <c r="D22" s="2">
        <v>30.649999999999999</v>
      </c>
      <c r="F22" s="2"/>
      <c r="G22" s="2">
        <v>30.649999999999999</v>
      </c>
      <c r="H22" s="2" t="s">
        <v>20</v>
      </c>
      <c r="I22" s="2">
        <v>1</v>
      </c>
      <c r="J22" s="2" t="s">
        <v>125</v>
      </c>
      <c r="K22" s="2" t="s">
        <v>22</v>
      </c>
      <c r="L22" s="2" t="s">
        <v>23</v>
      </c>
      <c r="M22" s="2" t="s">
        <v>41</v>
      </c>
      <c r="N22" s="2" t="s">
        <v>42</v>
      </c>
      <c r="O22" s="2" t="s">
        <v>126</v>
      </c>
      <c r="P22" s="2" t="s">
        <v>127</v>
      </c>
      <c r="Q22" s="2" t="s">
        <v>38</v>
      </c>
      <c r="R22" s="2" t="s">
        <v>127</v>
      </c>
    </row>
    <row r="23">
      <c r="A23" s="2" t="s">
        <v>74</v>
      </c>
      <c r="B23" s="2" t="s">
        <v>128</v>
      </c>
      <c r="C23" s="2" t="s">
        <v>129</v>
      </c>
      <c r="D23" s="2">
        <v>70</v>
      </c>
      <c r="F23" s="2"/>
      <c r="G23" s="2">
        <v>70</v>
      </c>
      <c r="H23" s="2" t="s">
        <v>20</v>
      </c>
      <c r="I23" s="2">
        <v>2</v>
      </c>
      <c r="J23" s="2" t="s">
        <v>125</v>
      </c>
      <c r="K23" s="2" t="s">
        <v>22</v>
      </c>
      <c r="L23" s="2" t="s">
        <v>23</v>
      </c>
      <c r="M23" s="2" t="s">
        <v>130</v>
      </c>
      <c r="N23" s="2" t="s">
        <v>131</v>
      </c>
      <c r="O23" s="2" t="s">
        <v>79</v>
      </c>
      <c r="P23" s="2" t="s">
        <v>132</v>
      </c>
      <c r="Q23" s="2" t="s">
        <v>133</v>
      </c>
      <c r="R23" s="2" t="s">
        <v>134</v>
      </c>
    </row>
    <row r="24">
      <c r="A24" s="2" t="s">
        <v>123</v>
      </c>
      <c r="B24" s="2" t="s">
        <v>135</v>
      </c>
      <c r="C24" s="2" t="s">
        <v>136</v>
      </c>
      <c r="D24" s="2">
        <v>21.710000000000001</v>
      </c>
      <c r="F24" s="2">
        <v>0</v>
      </c>
      <c r="G24" s="2">
        <v>21.710000000000001</v>
      </c>
      <c r="H24" s="2" t="s">
        <v>20</v>
      </c>
      <c r="I24" s="2">
        <v>3</v>
      </c>
      <c r="J24" s="2" t="s">
        <v>125</v>
      </c>
      <c r="K24" s="2" t="s">
        <v>22</v>
      </c>
      <c r="L24" s="2" t="s">
        <v>23</v>
      </c>
      <c r="M24" s="2" t="s">
        <v>34</v>
      </c>
      <c r="N24" s="2" t="s">
        <v>137</v>
      </c>
      <c r="O24" s="2" t="s">
        <v>138</v>
      </c>
      <c r="P24" s="2" t="s">
        <v>139</v>
      </c>
      <c r="Q24" s="2" t="s">
        <v>38</v>
      </c>
      <c r="R24" s="2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2026-01-23T08:32:56Z</dcterms:created>
  <dcterms:modified xsi:type="dcterms:W3CDTF">2026-01-25T10:53:19Z</dcterms:modified>
</cp:coreProperties>
</file>