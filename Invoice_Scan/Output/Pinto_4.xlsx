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Github\RPA\Invoice_Scan\Output\"/>
    </mc:Choice>
  </mc:AlternateContent>
  <bookViews>
    <workbookView xWindow="0" yWindow="0" windowWidth="0" windowHeight="0"/>
  </bookViews>
  <sheets>
    <sheet name="Sheet1" sheetId="1" r:id="rId1"/>
  </sheets>
  <calcPr/>
</workbook>
</file>

<file path=xl/calcChain.xml><?xml version="1.0" encoding="utf-8"?>
<calcChain xmlns="http://schemas.openxmlformats.org/spreadsheetml/2006/main">
  <c i="1" l="1" r="G28"/>
  <c r="G20"/>
  <c r="G17"/>
  <c r="D12"/>
  <c r="G12"/>
  <c r="G8"/>
</calcChain>
</file>

<file path=xl/sharedStrings.xml><?xml version="1.0" encoding="utf-8"?>
<sst xmlns="http://schemas.openxmlformats.org/spreadsheetml/2006/main">
  <si>
    <t>Invoice date</t>
  </si>
  <si>
    <t>Invoice number</t>
  </si>
  <si>
    <t>Description</t>
  </si>
  <si>
    <t>Net Amount</t>
  </si>
  <si>
    <t>Tax Code</t>
  </si>
  <si>
    <t>Vat Amount</t>
  </si>
  <si>
    <t>Total</t>
  </si>
  <si>
    <t>Currency</t>
  </si>
  <si>
    <t>Page</t>
  </si>
  <si>
    <t>Source PDF</t>
  </si>
  <si>
    <t>Method</t>
  </si>
  <si>
    <t>Status</t>
  </si>
  <si>
    <t>Supplier name</t>
  </si>
  <si>
    <t>Summary</t>
  </si>
  <si>
    <t>Raw invoice_date</t>
  </si>
  <si>
    <t>Raw net_amount</t>
  </si>
  <si>
    <t>Raw vat_amount</t>
  </si>
  <si>
    <t>Raw total_amount</t>
  </si>
  <si>
    <t>2025-12-15</t>
  </si>
  <si>
    <t>10465235</t>
  </si>
  <si>
    <t>N.Calleja Trading Ent. Ltd. - Supply of poultry roll and luncheon meat</t>
  </si>
  <si>
    <t>EUR</t>
  </si>
  <si>
    <t>Pinto 4.pdf</t>
  </si>
  <si>
    <t>ocr</t>
  </si>
  <si>
    <t>ok</t>
  </si>
  <si>
    <t>N.Calleja Trading Ent. Ltd.</t>
  </si>
  <si>
    <t>Supply of poultry roll and luncheon meat</t>
  </si>
  <si>
    <t>15-Dec-2025</t>
  </si>
  <si>
    <t>44.09</t>
  </si>
  <si>
    <t>0.00</t>
  </si>
  <si>
    <t>Borg and Aquilina Ltd. - Invoice for tea bags and sugar products</t>
  </si>
  <si>
    <t>Borg and Aquilina Ltd.</t>
  </si>
  <si>
    <t>Invoice for tea bags and sugar products</t>
  </si>
  <si>
    <t>48.50</t>
  </si>
  <si>
    <t>10464751</t>
  </si>
  <si>
    <t>N.Calleja Trading Ent. Ltd. - Supply of various food items including milk and olive oil</t>
  </si>
  <si>
    <t>Supply of various food items including milk and olive oil</t>
  </si>
  <si>
    <t>113.02</t>
  </si>
  <si>
    <t>JBL 1021 9480</t>
  </si>
  <si>
    <t>Joseph Borg Ltd - Invoice for food supplies including cheese and pastries</t>
  </si>
  <si>
    <t>Joseph Borg Ltd</t>
  </si>
  <si>
    <t>Invoice for food supplies including cheese and pastries</t>
  </si>
  <si>
    <t>46.46</t>
  </si>
  <si>
    <t>59.36</t>
  </si>
  <si>
    <t>2025-12-16</t>
  </si>
  <si>
    <t>INV1013837</t>
  </si>
  <si>
    <t>Mafimex Ltd. - Invoice for fruit and vegetable delivery</t>
  </si>
  <si>
    <t>Mafimex Ltd.</t>
  </si>
  <si>
    <t>Invoice for fruit and vegetable delivery</t>
  </si>
  <si>
    <t>16/12/2025</t>
  </si>
  <si>
    <t>66.07</t>
  </si>
  <si>
    <t>10789496</t>
  </si>
  <si>
    <t>Quality Foods (Marketing) Limited - Supply of tortilla wraps to customer</t>
  </si>
  <si>
    <t>Quality Foods (Marketing) Limited</t>
  </si>
  <si>
    <t>Supply of tortilla wraps to customer</t>
  </si>
  <si>
    <t>16-Dec-2025</t>
  </si>
  <si>
    <t>19.50</t>
  </si>
  <si>
    <t>859381</t>
  </si>
  <si>
    <t>A J.Sultana Beverages, Wines &amp; Spirits - Beverages including water and soft drinks</t>
  </si>
  <si>
    <t>ocr_totals_mismatch</t>
  </si>
  <si>
    <t>A J.Sultana Beverages, Wines &amp; Spirits</t>
  </si>
  <si>
    <t>Beverages including water and soft drinks</t>
  </si>
  <si>
    <t>558.34</t>
  </si>
  <si>
    <t>100.43</t>
  </si>
  <si>
    <t>658.34</t>
  </si>
  <si>
    <t>A J.Sultana Beverages, Wines &amp; Spirits - BCRS</t>
  </si>
  <si>
    <t>INSERV 10292851</t>
  </si>
  <si>
    <t>INSERV LIMITED - Supply of salad bowls and lids</t>
  </si>
  <si>
    <t>INSERV LIMITED</t>
  </si>
  <si>
    <t>Supply of salad bowls and lids</t>
  </si>
  <si>
    <t>198.80</t>
  </si>
  <si>
    <t>35.78</t>
  </si>
  <si>
    <t>234.58</t>
  </si>
  <si>
    <t>NESTLE' MALTA LIMITED - Invoice for Nestle products including cocoa and coffee</t>
  </si>
  <si>
    <t>NESTLE' MALTA LIMITED</t>
  </si>
  <si>
    <t>Invoice for Nestle products including cocoa and coffee</t>
  </si>
  <si>
    <t>16.12.2025</t>
  </si>
  <si>
    <t>192.96</t>
  </si>
  <si>
    <t>578748</t>
  </si>
  <si>
    <t>FARSONS GROUP Simonds Farsons Cisk p.l.c. - Sale of beverages including soft drinks and beer</t>
  </si>
  <si>
    <t>FARSONS GROUP Simonds Farsons Cisk p.l.c.</t>
  </si>
  <si>
    <t>Sale of beverages including soft drinks and beer</t>
  </si>
  <si>
    <t>16-DEC-2025</t>
  </si>
  <si>
    <t>76.93</t>
  </si>
  <si>
    <t>10.36</t>
  </si>
  <si>
    <t>84.47</t>
  </si>
  <si>
    <t>FARSONS GROUP Simonds Farsons Cisk p.l.c. - BCRS</t>
  </si>
  <si>
    <t>165756</t>
  </si>
  <si>
    <t>Vernons (Sales) Ltd. - Goods delivered as per order</t>
  </si>
  <si>
    <t>Vernons (Sales) Ltd.</t>
  </si>
  <si>
    <t>Goods delivered as per order</t>
  </si>
  <si>
    <t>44.22</t>
  </si>
  <si>
    <t>2025-12-17</t>
  </si>
  <si>
    <t>J27222</t>
  </si>
  <si>
    <t>JESPER - Sale of baguettes to customer</t>
  </si>
  <si>
    <t>David Debono</t>
  </si>
  <si>
    <t>Sale of baguettes to customer</t>
  </si>
  <si>
    <t>Wed 17-Dec-2025</t>
  </si>
  <si>
    <t>14.47</t>
  </si>
  <si>
    <t>SIN1495872</t>
  </si>
  <si>
    <t>Nectar Limited - Cash sale for hard cheese shavings</t>
  </si>
  <si>
    <t>Nectar Limited</t>
  </si>
  <si>
    <t>Cash sale for hard cheese shavings</t>
  </si>
  <si>
    <t>16/18/2028</t>
  </si>
  <si>
    <t>13.08</t>
  </si>
  <si>
    <t>SIN1495974</t>
  </si>
  <si>
    <t>Nectar Limited - Cash sale of various beverages</t>
  </si>
  <si>
    <t>Cash sale of various beverages</t>
  </si>
  <si>
    <t>99.29</t>
  </si>
  <si>
    <t>17.87</t>
  </si>
  <si>
    <t>119.56</t>
  </si>
  <si>
    <t>Nectar Limited - Cash sale of various beverages BCRS</t>
  </si>
  <si>
    <t>INV1014077</t>
  </si>
  <si>
    <t>Mafimex Ltd. - Invoice for delivery of fresh vegetables</t>
  </si>
  <si>
    <t>Invoice for delivery of fresh vegetables</t>
  </si>
  <si>
    <t>36.99</t>
  </si>
  <si>
    <t>2025-12-18</t>
  </si>
  <si>
    <t>78000041</t>
  </si>
  <si>
    <t>Alf Mizzi &amp; Sons Marketing Group - Invoice for confectionery products supplied</t>
  </si>
  <si>
    <t>Alf Mizzi &amp; Sons Marketing Group</t>
  </si>
  <si>
    <t>Invoice for confectionery products supplied</t>
  </si>
  <si>
    <t>18/12/2025</t>
  </si>
  <si>
    <t>125.70</t>
  </si>
  <si>
    <t>22.63</t>
  </si>
  <si>
    <t>162.73</t>
  </si>
  <si>
    <t>Alf Mizzi &amp; Sons Marketing Group - BCRS</t>
  </si>
  <si>
    <t>10789687</t>
  </si>
  <si>
    <t>Quality Foods (Marketing) Limited - Supply of food products including mayonnaise and tuna.</t>
  </si>
  <si>
    <t>Pinto 4-2.pdf</t>
  </si>
  <si>
    <t>Supply of food products including mayonnaise and tuna.</t>
  </si>
  <si>
    <t>94.60</t>
  </si>
  <si>
    <t>10466600</t>
  </si>
  <si>
    <t>N.Calleja Trading Ent. Ltd. - Sale of poultry rolls for delivery</t>
  </si>
  <si>
    <t>Sale of poultry rolls for delivery</t>
  </si>
  <si>
    <t>17-Dec-2025</t>
  </si>
  <si>
    <t>38.50</t>
  </si>
  <si>
    <t>INV1014277</t>
  </si>
  <si>
    <t>Mafimex Ltd. - Invoice for fruit and vegetable supply</t>
  </si>
  <si>
    <t>Invoice for fruit and vegetable supply</t>
  </si>
  <si>
    <t>44.33</t>
  </si>
  <si>
    <t>10466075</t>
  </si>
  <si>
    <t>N.Calleja Trading Ent. Ltd. - Invoice for food supplies including rice and mayonnaise.</t>
  </si>
  <si>
    <t>Invoice for food supplies including rice and mayonnaise.</t>
  </si>
  <si>
    <t>25.50</t>
  </si>
  <si>
    <t>CBM 10245994</t>
  </si>
  <si>
    <t>Camel Brand Marketing Ltd - Invoice for goods delivered to Pinto Pastizzeria</t>
  </si>
  <si>
    <t>Camel Brand Marketing Ltd</t>
  </si>
  <si>
    <t>Invoice for goods delivered to Pinto Pastizzeria</t>
  </si>
  <si>
    <t>37.00</t>
  </si>
  <si>
    <t>2025-12-30</t>
  </si>
  <si>
    <t>J27746</t>
  </si>
  <si>
    <t>JESPER'S By David Distributor - Sale of baguettes to Pinto Passtizerija</t>
  </si>
  <si>
    <t>J ESPER'S By David Distributor</t>
  </si>
  <si>
    <t>Sale of baguettes to Pinto Passtizerija</t>
  </si>
  <si>
    <t>Tue 30-Dec-2025</t>
  </si>
  <si>
    <t>2025-12-29</t>
  </si>
  <si>
    <t>863247</t>
  </si>
  <si>
    <t>J.Sultana - Beverages including Coca Cola and Kinnie</t>
  </si>
  <si>
    <t>J.Sultana</t>
  </si>
  <si>
    <t>Beverages including Coca Cola and Kinnie</t>
  </si>
  <si>
    <t>29/12/2025</t>
  </si>
  <si>
    <t>243.55</t>
  </si>
  <si>
    <t>37.16</t>
  </si>
  <si>
    <t>280.71</t>
  </si>
  <si>
    <t>J.Sultana - Beverages including BCRS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</si>
</sst>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3">
    <border/>
    <border>
      <left style="thin"/>
      <right style="thin"/>
      <top style="thin"/>
      <bottom style="thin"/>
    </border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G28" sqref="G28"/>
    </sheetView>
  </sheetViews>
  <sheetFormatPr defaultColWidth="9.285156" defaultRowHeight="15"/>
  <cols>
    <col min="1" max="1" width="11.85547" bestFit="1" customWidth="1"/>
    <col min="2" max="2" width="16" bestFit="1" customWidth="1"/>
    <col min="3" max="3" width="83.57031" bestFit="1" customWidth="1"/>
    <col min="4" max="4" width="11.85547" bestFit="1" customWidth="1"/>
    <col min="5" max="5" width="9" bestFit="1" customWidth="1"/>
    <col min="6" max="6" width="11.57031" bestFit="1" customWidth="1"/>
    <col min="7" max="7" width="7" bestFit="1" customWidth="1"/>
    <col min="8" max="8" width="8.855469" bestFit="1" customWidth="1"/>
    <col min="9" max="9" width="5.285156" bestFit="1" customWidth="1"/>
    <col min="10" max="10" width="10.85547" bestFit="1" customWidth="1"/>
    <col min="11" max="11" width="8.140625" bestFit="1" customWidth="1"/>
    <col min="12" max="12" width="19.28516" bestFit="1" customWidth="1"/>
    <col min="13" max="13" width="39.85547" bestFit="1" customWidth="1"/>
    <col min="14" max="14" width="50.28516" bestFit="1" customWidth="1"/>
    <col min="15" max="15" width="16.57031" bestFit="1" customWidth="1"/>
    <col min="16" max="16" width="16" bestFit="1" customWidth="1"/>
    <col min="17" max="17" width="15.71094" bestFit="1" customWidth="1"/>
    <col min="18" max="18" width="17.14063" bestFit="1" customWidth="1"/>
    <col min="19" max="16384" width="9.28515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t="s">
        <v>18</v>
      </c>
      <c r="B2" t="s">
        <v>19</v>
      </c>
      <c r="C2" t="s">
        <v>20</v>
      </c>
      <c r="D2">
        <v>44.090000000000003</v>
      </c>
      <c r="F2">
        <v>0</v>
      </c>
      <c r="G2">
        <v>44.090000000000003</v>
      </c>
      <c r="H2" t="s">
        <v>21</v>
      </c>
      <c r="I2">
        <v>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28</v>
      </c>
    </row>
    <row r="3">
      <c r="A3" t="s">
        <v>18</v>
      </c>
      <c r="B3">
        <v>10447878</v>
      </c>
      <c r="C3" t="s">
        <v>30</v>
      </c>
      <c r="D3">
        <v>48.5</v>
      </c>
      <c r="F3">
        <v>0</v>
      </c>
      <c r="G3">
        <v>48.5</v>
      </c>
      <c r="H3" t="s">
        <v>21</v>
      </c>
      <c r="I3">
        <v>2</v>
      </c>
      <c r="J3" t="s">
        <v>22</v>
      </c>
      <c r="K3" t="s">
        <v>23</v>
      </c>
      <c r="L3" t="s">
        <v>24</v>
      </c>
      <c r="M3" t="s">
        <v>31</v>
      </c>
      <c r="N3" t="s">
        <v>32</v>
      </c>
      <c r="O3" t="s">
        <v>27</v>
      </c>
      <c r="P3" t="s">
        <v>33</v>
      </c>
      <c r="Q3" t="s">
        <v>29</v>
      </c>
      <c r="R3" t="s">
        <v>33</v>
      </c>
    </row>
    <row r="4">
      <c r="A4" t="s">
        <v>18</v>
      </c>
      <c r="B4" t="s">
        <v>34</v>
      </c>
      <c r="C4" t="s">
        <v>35</v>
      </c>
      <c r="D4">
        <v>113.02</v>
      </c>
      <c r="F4">
        <v>0</v>
      </c>
      <c r="G4">
        <v>113.02</v>
      </c>
      <c r="H4" t="s">
        <v>21</v>
      </c>
      <c r="I4">
        <v>3</v>
      </c>
      <c r="J4" t="s">
        <v>22</v>
      </c>
      <c r="K4" t="s">
        <v>23</v>
      </c>
      <c r="L4" t="s">
        <v>24</v>
      </c>
      <c r="M4" t="s">
        <v>25</v>
      </c>
      <c r="N4" t="s">
        <v>36</v>
      </c>
      <c r="O4" t="s">
        <v>27</v>
      </c>
      <c r="P4" t="s">
        <v>37</v>
      </c>
      <c r="Q4" t="s">
        <v>29</v>
      </c>
      <c r="R4" t="s">
        <v>37</v>
      </c>
    </row>
    <row r="5">
      <c r="A5" t="s">
        <v>18</v>
      </c>
      <c r="B5" t="s">
        <v>38</v>
      </c>
      <c r="C5" t="s">
        <v>39</v>
      </c>
      <c r="D5">
        <v>59.359999999999999</v>
      </c>
      <c r="F5">
        <v>0</v>
      </c>
      <c r="G5">
        <v>59.359999999999999</v>
      </c>
      <c r="H5" t="s">
        <v>21</v>
      </c>
      <c r="I5">
        <v>4</v>
      </c>
      <c r="J5" t="s">
        <v>22</v>
      </c>
      <c r="K5" t="s">
        <v>23</v>
      </c>
      <c r="L5" t="s">
        <v>24</v>
      </c>
      <c r="M5" t="s">
        <v>40</v>
      </c>
      <c r="N5" t="s">
        <v>41</v>
      </c>
      <c r="O5" t="s">
        <v>27</v>
      </c>
      <c r="P5" t="s">
        <v>42</v>
      </c>
      <c r="R5" t="s">
        <v>43</v>
      </c>
    </row>
    <row r="6">
      <c r="A6" t="s">
        <v>44</v>
      </c>
      <c r="B6" t="s">
        <v>45</v>
      </c>
      <c r="C6" t="s">
        <v>46</v>
      </c>
      <c r="D6">
        <v>66.069999999999993</v>
      </c>
      <c r="F6">
        <v>0</v>
      </c>
      <c r="G6">
        <v>66.069999999999993</v>
      </c>
      <c r="H6" t="s">
        <v>21</v>
      </c>
      <c r="I6">
        <v>5</v>
      </c>
      <c r="J6" t="s">
        <v>22</v>
      </c>
      <c r="K6" t="s">
        <v>23</v>
      </c>
      <c r="L6" t="s">
        <v>24</v>
      </c>
      <c r="M6" t="s">
        <v>47</v>
      </c>
      <c r="N6" t="s">
        <v>48</v>
      </c>
      <c r="O6" t="s">
        <v>49</v>
      </c>
      <c r="P6" t="s">
        <v>50</v>
      </c>
      <c r="Q6" t="s">
        <v>29</v>
      </c>
      <c r="R6" t="s">
        <v>50</v>
      </c>
    </row>
    <row r="7">
      <c r="A7" t="s">
        <v>44</v>
      </c>
      <c r="B7" t="s">
        <v>51</v>
      </c>
      <c r="C7" t="s">
        <v>52</v>
      </c>
      <c r="D7">
        <v>19.5</v>
      </c>
      <c r="F7">
        <v>0</v>
      </c>
      <c r="G7">
        <v>19.5</v>
      </c>
      <c r="H7" t="s">
        <v>21</v>
      </c>
      <c r="I7">
        <v>6</v>
      </c>
      <c r="J7" t="s">
        <v>22</v>
      </c>
      <c r="K7" t="s">
        <v>23</v>
      </c>
      <c r="L7" t="s">
        <v>24</v>
      </c>
      <c r="M7" t="s">
        <v>53</v>
      </c>
      <c r="N7" t="s">
        <v>54</v>
      </c>
      <c r="O7" t="s">
        <v>55</v>
      </c>
      <c r="P7" t="s">
        <v>56</v>
      </c>
      <c r="Q7" t="s">
        <v>29</v>
      </c>
      <c r="R7" t="s">
        <v>56</v>
      </c>
    </row>
    <row r="8">
      <c r="A8" t="s">
        <v>44</v>
      </c>
      <c r="B8" t="s">
        <v>57</v>
      </c>
      <c r="C8" t="s">
        <v>58</v>
      </c>
      <c r="D8">
        <v>557.96000000000004</v>
      </c>
      <c r="F8">
        <v>100.42</v>
      </c>
      <c r="G8">
        <f>D8+F8</f>
        <v>658.38</v>
      </c>
      <c r="H8" t="s">
        <v>21</v>
      </c>
      <c r="I8">
        <v>7</v>
      </c>
      <c r="J8" t="s">
        <v>22</v>
      </c>
      <c r="K8" t="s">
        <v>23</v>
      </c>
      <c r="L8" t="s">
        <v>59</v>
      </c>
      <c r="M8" t="s">
        <v>60</v>
      </c>
      <c r="N8" t="s">
        <v>61</v>
      </c>
      <c r="O8" t="s">
        <v>49</v>
      </c>
      <c r="P8" t="s">
        <v>62</v>
      </c>
      <c r="Q8" t="s">
        <v>63</v>
      </c>
      <c r="R8" t="s">
        <v>64</v>
      </c>
    </row>
    <row r="9">
      <c r="A9" t="s">
        <v>44</v>
      </c>
      <c r="B9" t="s">
        <v>57</v>
      </c>
      <c r="C9" t="s">
        <v>65</v>
      </c>
      <c r="D9">
        <v>78</v>
      </c>
      <c r="F9">
        <v>0</v>
      </c>
      <c r="G9">
        <v>78</v>
      </c>
      <c r="H9" t="s">
        <v>21</v>
      </c>
      <c r="I9">
        <v>7</v>
      </c>
      <c r="J9" t="s">
        <v>22</v>
      </c>
      <c r="K9" t="s">
        <v>23</v>
      </c>
      <c r="L9" t="s">
        <v>59</v>
      </c>
      <c r="M9" t="s">
        <v>60</v>
      </c>
      <c r="N9" t="s">
        <v>61</v>
      </c>
      <c r="O9" t="s">
        <v>49</v>
      </c>
      <c r="P9" t="s">
        <v>62</v>
      </c>
      <c r="Q9" t="s">
        <v>63</v>
      </c>
      <c r="R9" t="s">
        <v>64</v>
      </c>
    </row>
    <row r="10">
      <c r="A10" t="s">
        <v>44</v>
      </c>
      <c r="B10" t="s">
        <v>66</v>
      </c>
      <c r="C10" t="s">
        <v>67</v>
      </c>
      <c r="D10">
        <v>198.80000000000001</v>
      </c>
      <c r="F10">
        <v>35.780000000000001</v>
      </c>
      <c r="G10">
        <v>234.58000000000001</v>
      </c>
      <c r="H10" t="s">
        <v>21</v>
      </c>
      <c r="I10">
        <v>8</v>
      </c>
      <c r="J10" t="s">
        <v>22</v>
      </c>
      <c r="K10" t="s">
        <v>23</v>
      </c>
      <c r="L10" t="s">
        <v>24</v>
      </c>
      <c r="M10" t="s">
        <v>68</v>
      </c>
      <c r="N10" t="s">
        <v>69</v>
      </c>
      <c r="O10" t="s">
        <v>55</v>
      </c>
      <c r="P10" t="s">
        <v>70</v>
      </c>
      <c r="Q10" t="s">
        <v>71</v>
      </c>
      <c r="R10" t="s">
        <v>72</v>
      </c>
    </row>
    <row r="11">
      <c r="A11" t="s">
        <v>44</v>
      </c>
      <c r="B11">
        <v>1344959250</v>
      </c>
      <c r="C11" t="s">
        <v>73</v>
      </c>
      <c r="D11">
        <v>192.96000000000001</v>
      </c>
      <c r="G11">
        <v>192.96000000000001</v>
      </c>
      <c r="H11" t="s">
        <v>21</v>
      </c>
      <c r="I11">
        <v>9</v>
      </c>
      <c r="J11" t="s">
        <v>22</v>
      </c>
      <c r="K11" t="s">
        <v>23</v>
      </c>
      <c r="L11" t="s">
        <v>24</v>
      </c>
      <c r="M11" t="s">
        <v>74</v>
      </c>
      <c r="N11" t="s">
        <v>75</v>
      </c>
      <c r="O11" t="s">
        <v>76</v>
      </c>
      <c r="P11" t="s">
        <v>77</v>
      </c>
      <c r="R11" t="s">
        <v>77</v>
      </c>
    </row>
    <row r="12">
      <c r="A12" t="s">
        <v>44</v>
      </c>
      <c r="B12" s="2" t="s">
        <v>78</v>
      </c>
      <c r="C12" t="s">
        <v>79</v>
      </c>
      <c r="D12">
        <f>84.47-26.9</f>
        <v>57.57</v>
      </c>
      <c r="F12">
        <v>10.359999999999999</v>
      </c>
      <c r="G12">
        <f>D12+F12</f>
        <v>67.930000000000007</v>
      </c>
      <c r="H12" t="s">
        <v>21</v>
      </c>
      <c r="I12">
        <v>10</v>
      </c>
      <c r="J12" t="s">
        <v>22</v>
      </c>
      <c r="K12" t="s">
        <v>23</v>
      </c>
      <c r="L12" t="s">
        <v>59</v>
      </c>
      <c r="M12" t="s">
        <v>80</v>
      </c>
      <c r="N12" t="s">
        <v>81</v>
      </c>
      <c r="O12" t="s">
        <v>82</v>
      </c>
      <c r="P12" t="s">
        <v>83</v>
      </c>
      <c r="Q12" t="s">
        <v>84</v>
      </c>
      <c r="R12" t="s">
        <v>85</v>
      </c>
    </row>
    <row r="13">
      <c r="A13" t="s">
        <v>44</v>
      </c>
      <c r="B13" t="s">
        <v>78</v>
      </c>
      <c r="C13" t="s">
        <v>86</v>
      </c>
      <c r="D13">
        <v>9</v>
      </c>
      <c r="F13">
        <v>0</v>
      </c>
      <c r="G13">
        <v>9</v>
      </c>
      <c r="H13" t="s">
        <v>21</v>
      </c>
      <c r="I13">
        <v>10</v>
      </c>
      <c r="J13" t="s">
        <v>22</v>
      </c>
      <c r="K13" t="s">
        <v>23</v>
      </c>
      <c r="L13" t="s">
        <v>59</v>
      </c>
      <c r="M13" t="s">
        <v>80</v>
      </c>
      <c r="N13" t="s">
        <v>81</v>
      </c>
      <c r="O13" t="s">
        <v>82</v>
      </c>
      <c r="P13" t="s">
        <v>83</v>
      </c>
      <c r="Q13" t="s">
        <v>84</v>
      </c>
      <c r="R13" t="s">
        <v>85</v>
      </c>
    </row>
    <row r="14">
      <c r="A14" t="s">
        <v>44</v>
      </c>
      <c r="B14" s="2" t="s">
        <v>87</v>
      </c>
      <c r="C14" t="s">
        <v>88</v>
      </c>
      <c r="D14">
        <v>255.30000000000001</v>
      </c>
      <c r="F14">
        <v>0</v>
      </c>
      <c r="G14">
        <v>255.30000000000001</v>
      </c>
      <c r="H14" t="s">
        <v>21</v>
      </c>
      <c r="I14">
        <v>11</v>
      </c>
      <c r="J14" t="s">
        <v>22</v>
      </c>
      <c r="K14" t="s">
        <v>23</v>
      </c>
      <c r="L14" t="s">
        <v>24</v>
      </c>
      <c r="M14" t="s">
        <v>89</v>
      </c>
      <c r="N14" t="s">
        <v>90</v>
      </c>
      <c r="P14" t="s">
        <v>91</v>
      </c>
    </row>
    <row r="15">
      <c r="A15" t="s">
        <v>92</v>
      </c>
      <c r="B15" t="s">
        <v>93</v>
      </c>
      <c r="C15" t="s">
        <v>94</v>
      </c>
      <c r="D15">
        <v>14.470000000000001</v>
      </c>
      <c r="F15">
        <v>0</v>
      </c>
      <c r="G15">
        <v>14.470000000000001</v>
      </c>
      <c r="H15" t="s">
        <v>21</v>
      </c>
      <c r="I15">
        <v>12</v>
      </c>
      <c r="J15" t="s">
        <v>22</v>
      </c>
      <c r="K15" t="s">
        <v>23</v>
      </c>
      <c r="L15" t="s">
        <v>24</v>
      </c>
      <c r="M15" t="s">
        <v>95</v>
      </c>
      <c r="N15" t="s">
        <v>96</v>
      </c>
      <c r="O15" t="s">
        <v>97</v>
      </c>
      <c r="P15" t="s">
        <v>98</v>
      </c>
      <c r="Q15" t="s">
        <v>29</v>
      </c>
      <c r="R15" t="s">
        <v>98</v>
      </c>
    </row>
    <row r="16">
      <c r="A16" t="s">
        <v>44</v>
      </c>
      <c r="B16" t="s">
        <v>99</v>
      </c>
      <c r="C16" t="s">
        <v>100</v>
      </c>
      <c r="D16">
        <v>13.08</v>
      </c>
      <c r="F16">
        <v>0</v>
      </c>
      <c r="G16">
        <v>13.08</v>
      </c>
      <c r="H16" t="s">
        <v>21</v>
      </c>
      <c r="I16">
        <v>13</v>
      </c>
      <c r="J16" t="s">
        <v>22</v>
      </c>
      <c r="K16" t="s">
        <v>23</v>
      </c>
      <c r="L16" t="s">
        <v>24</v>
      </c>
      <c r="M16" t="s">
        <v>101</v>
      </c>
      <c r="N16" t="s">
        <v>102</v>
      </c>
      <c r="O16" t="s">
        <v>103</v>
      </c>
      <c r="P16" t="s">
        <v>104</v>
      </c>
      <c r="Q16" t="s">
        <v>29</v>
      </c>
      <c r="R16" t="s">
        <v>104</v>
      </c>
    </row>
    <row r="17">
      <c r="A17" t="s">
        <v>44</v>
      </c>
      <c r="B17" t="s">
        <v>105</v>
      </c>
      <c r="C17" t="s">
        <v>106</v>
      </c>
      <c r="D17">
        <v>99.290000000000006</v>
      </c>
      <c r="F17">
        <v>17.870000000000001</v>
      </c>
      <c r="G17">
        <f>D17+F17</f>
        <v>117.16000000000001</v>
      </c>
      <c r="H17" t="s">
        <v>21</v>
      </c>
      <c r="I17">
        <v>14</v>
      </c>
      <c r="J17" t="s">
        <v>22</v>
      </c>
      <c r="K17" t="s">
        <v>23</v>
      </c>
      <c r="L17" t="s">
        <v>59</v>
      </c>
      <c r="M17" t="s">
        <v>101</v>
      </c>
      <c r="N17" t="s">
        <v>107</v>
      </c>
      <c r="O17" t="s">
        <v>49</v>
      </c>
      <c r="P17" t="s">
        <v>108</v>
      </c>
      <c r="Q17" t="s">
        <v>109</v>
      </c>
      <c r="R17" t="s">
        <v>110</v>
      </c>
    </row>
    <row r="18">
      <c r="A18" t="s">
        <v>44</v>
      </c>
      <c r="B18" t="s">
        <v>105</v>
      </c>
      <c r="C18" t="s">
        <v>111</v>
      </c>
      <c r="D18">
        <v>2.3999999999999999</v>
      </c>
      <c r="F18">
        <v>0</v>
      </c>
      <c r="G18">
        <v>2.3999999999999999</v>
      </c>
      <c r="H18" t="s">
        <v>21</v>
      </c>
      <c r="I18">
        <v>14</v>
      </c>
      <c r="J18" t="s">
        <v>22</v>
      </c>
      <c r="K18" t="s">
        <v>23</v>
      </c>
      <c r="L18" t="s">
        <v>59</v>
      </c>
      <c r="M18" t="s">
        <v>101</v>
      </c>
      <c r="N18" t="s">
        <v>107</v>
      </c>
      <c r="O18" t="s">
        <v>49</v>
      </c>
      <c r="P18" t="s">
        <v>108</v>
      </c>
      <c r="Q18" t="s">
        <v>109</v>
      </c>
      <c r="R18" t="s">
        <v>110</v>
      </c>
    </row>
    <row r="19">
      <c r="A19" t="s">
        <v>92</v>
      </c>
      <c r="B19" t="s">
        <v>112</v>
      </c>
      <c r="C19" t="s">
        <v>113</v>
      </c>
      <c r="D19">
        <v>36.990000000000002</v>
      </c>
      <c r="F19">
        <v>0</v>
      </c>
      <c r="G19">
        <v>36.990000000000002</v>
      </c>
      <c r="H19" t="s">
        <v>21</v>
      </c>
      <c r="I19">
        <v>15</v>
      </c>
      <c r="J19" t="s">
        <v>22</v>
      </c>
      <c r="K19" t="s">
        <v>23</v>
      </c>
      <c r="L19" t="s">
        <v>24</v>
      </c>
      <c r="M19" t="s">
        <v>47</v>
      </c>
      <c r="N19" t="s">
        <v>114</v>
      </c>
      <c r="P19" t="s">
        <v>115</v>
      </c>
      <c r="Q19" t="s">
        <v>29</v>
      </c>
      <c r="R19" t="s">
        <v>115</v>
      </c>
    </row>
    <row r="20">
      <c r="A20" t="s">
        <v>116</v>
      </c>
      <c r="B20" t="s">
        <v>117</v>
      </c>
      <c r="C20" t="s">
        <v>118</v>
      </c>
      <c r="D20">
        <v>125.7</v>
      </c>
      <c r="F20">
        <v>22.629999999999999</v>
      </c>
      <c r="G20">
        <f>D20+F20</f>
        <v>148.33000000000001</v>
      </c>
      <c r="H20" t="s">
        <v>21</v>
      </c>
      <c r="I20">
        <v>16</v>
      </c>
      <c r="J20" t="s">
        <v>22</v>
      </c>
      <c r="K20" t="s">
        <v>23</v>
      </c>
      <c r="L20" t="s">
        <v>59</v>
      </c>
      <c r="M20" t="s">
        <v>119</v>
      </c>
      <c r="N20" t="s">
        <v>120</v>
      </c>
      <c r="O20" t="s">
        <v>121</v>
      </c>
      <c r="P20" t="s">
        <v>122</v>
      </c>
      <c r="Q20" t="s">
        <v>123</v>
      </c>
      <c r="R20" t="s">
        <v>124</v>
      </c>
    </row>
    <row r="21">
      <c r="A21" t="s">
        <v>116</v>
      </c>
      <c r="B21" t="s">
        <v>117</v>
      </c>
      <c r="C21" t="s">
        <v>125</v>
      </c>
      <c r="D21">
        <v>14.4</v>
      </c>
      <c r="F21">
        <v>0</v>
      </c>
      <c r="G21">
        <v>14.4</v>
      </c>
      <c r="H21" t="s">
        <v>21</v>
      </c>
      <c r="I21">
        <v>16</v>
      </c>
      <c r="J21" t="s">
        <v>22</v>
      </c>
      <c r="K21" t="s">
        <v>23</v>
      </c>
      <c r="L21" t="s">
        <v>59</v>
      </c>
      <c r="M21" t="s">
        <v>119</v>
      </c>
      <c r="N21" t="s">
        <v>120</v>
      </c>
      <c r="O21" t="s">
        <v>121</v>
      </c>
      <c r="P21" t="s">
        <v>122</v>
      </c>
      <c r="Q21" t="s">
        <v>123</v>
      </c>
      <c r="R21" t="s">
        <v>124</v>
      </c>
    </row>
    <row r="22">
      <c r="A22" s="3" t="s">
        <v>44</v>
      </c>
      <c r="B22" s="3" t="s">
        <v>126</v>
      </c>
      <c r="C22" s="3" t="s">
        <v>127</v>
      </c>
      <c r="D22" s="3">
        <v>94.599999999999994</v>
      </c>
      <c r="F22" s="3">
        <v>0</v>
      </c>
      <c r="G22" s="3">
        <v>94.599999999999994</v>
      </c>
      <c r="H22" s="3" t="s">
        <v>21</v>
      </c>
      <c r="I22" s="3">
        <v>1</v>
      </c>
      <c r="J22" s="3" t="s">
        <v>128</v>
      </c>
      <c r="K22" s="3" t="s">
        <v>23</v>
      </c>
      <c r="L22" s="3" t="s">
        <v>24</v>
      </c>
      <c r="M22" s="3" t="s">
        <v>53</v>
      </c>
      <c r="N22" s="3" t="s">
        <v>129</v>
      </c>
      <c r="O22" s="3" t="s">
        <v>55</v>
      </c>
      <c r="P22" s="3" t="s">
        <v>130</v>
      </c>
      <c r="Q22" s="3" t="s">
        <v>29</v>
      </c>
      <c r="R22" s="3" t="s">
        <v>130</v>
      </c>
    </row>
    <row r="23">
      <c r="A23" s="3" t="s">
        <v>92</v>
      </c>
      <c r="B23" s="3" t="s">
        <v>131</v>
      </c>
      <c r="C23" s="3" t="s">
        <v>132</v>
      </c>
      <c r="D23" s="3">
        <v>38.5</v>
      </c>
      <c r="F23" s="3">
        <v>0</v>
      </c>
      <c r="G23" s="3">
        <v>38.5</v>
      </c>
      <c r="H23" s="3" t="s">
        <v>21</v>
      </c>
      <c r="I23" s="3">
        <v>2</v>
      </c>
      <c r="J23" s="3" t="s">
        <v>128</v>
      </c>
      <c r="K23" s="3" t="s">
        <v>23</v>
      </c>
      <c r="L23" s="3" t="s">
        <v>24</v>
      </c>
      <c r="M23" s="3" t="s">
        <v>25</v>
      </c>
      <c r="N23" s="3" t="s">
        <v>133</v>
      </c>
      <c r="O23" s="3" t="s">
        <v>134</v>
      </c>
      <c r="P23" s="3" t="s">
        <v>135</v>
      </c>
      <c r="Q23" s="3" t="s">
        <v>29</v>
      </c>
      <c r="R23" s="3" t="s">
        <v>135</v>
      </c>
    </row>
    <row r="24">
      <c r="A24" s="3" t="s">
        <v>116</v>
      </c>
      <c r="B24" t="s">
        <v>136</v>
      </c>
      <c r="C24" s="3" t="s">
        <v>137</v>
      </c>
      <c r="D24" s="3">
        <v>44.329999999999998</v>
      </c>
      <c r="F24" s="3">
        <v>0</v>
      </c>
      <c r="G24" s="3">
        <v>44.329999999999998</v>
      </c>
      <c r="H24" s="3" t="s">
        <v>21</v>
      </c>
      <c r="I24" s="3">
        <v>3</v>
      </c>
      <c r="J24" s="3" t="s">
        <v>128</v>
      </c>
      <c r="K24" s="3" t="s">
        <v>23</v>
      </c>
      <c r="L24" s="3" t="s">
        <v>24</v>
      </c>
      <c r="M24" s="3" t="s">
        <v>47</v>
      </c>
      <c r="N24" s="3" t="s">
        <v>138</v>
      </c>
      <c r="O24" s="3" t="s">
        <v>121</v>
      </c>
      <c r="P24" s="3" t="s">
        <v>139</v>
      </c>
      <c r="Q24" s="3" t="s">
        <v>29</v>
      </c>
      <c r="R24" s="3" t="s">
        <v>139</v>
      </c>
    </row>
    <row r="25">
      <c r="A25" s="3" t="s">
        <v>92</v>
      </c>
      <c r="B25" s="3" t="s">
        <v>140</v>
      </c>
      <c r="C25" s="3" t="s">
        <v>141</v>
      </c>
      <c r="D25" s="3">
        <v>25.5</v>
      </c>
      <c r="F25" s="3">
        <v>0</v>
      </c>
      <c r="G25" s="3">
        <v>25.5</v>
      </c>
      <c r="H25" s="3" t="s">
        <v>21</v>
      </c>
      <c r="I25" s="3">
        <v>4</v>
      </c>
      <c r="J25" s="3" t="s">
        <v>128</v>
      </c>
      <c r="K25" s="3" t="s">
        <v>23</v>
      </c>
      <c r="L25" s="3" t="s">
        <v>24</v>
      </c>
      <c r="M25" s="3" t="s">
        <v>25</v>
      </c>
      <c r="N25" s="3" t="s">
        <v>142</v>
      </c>
      <c r="O25" s="3" t="s">
        <v>134</v>
      </c>
      <c r="P25" s="3" t="s">
        <v>143</v>
      </c>
      <c r="Q25" s="3" t="s">
        <v>29</v>
      </c>
      <c r="R25" s="3" t="s">
        <v>143</v>
      </c>
    </row>
    <row r="26">
      <c r="A26" s="3" t="s">
        <v>92</v>
      </c>
      <c r="B26" s="3" t="s">
        <v>144</v>
      </c>
      <c r="C26" s="3" t="s">
        <v>145</v>
      </c>
      <c r="D26" s="3">
        <v>37</v>
      </c>
      <c r="F26" s="3">
        <v>0</v>
      </c>
      <c r="G26" s="3">
        <v>37</v>
      </c>
      <c r="H26" s="3" t="s">
        <v>21</v>
      </c>
      <c r="I26" s="3">
        <v>5</v>
      </c>
      <c r="J26" s="3" t="s">
        <v>128</v>
      </c>
      <c r="K26" s="3" t="s">
        <v>23</v>
      </c>
      <c r="L26" s="3" t="s">
        <v>24</v>
      </c>
      <c r="M26" s="3" t="s">
        <v>146</v>
      </c>
      <c r="N26" s="3" t="s">
        <v>147</v>
      </c>
      <c r="O26" s="3" t="s">
        <v>134</v>
      </c>
      <c r="P26" s="3" t="s">
        <v>148</v>
      </c>
      <c r="Q26" s="3" t="s">
        <v>29</v>
      </c>
      <c r="R26" s="3" t="s">
        <v>148</v>
      </c>
    </row>
    <row r="27">
      <c r="A27" s="3" t="s">
        <v>149</v>
      </c>
      <c r="B27" s="3" t="s">
        <v>150</v>
      </c>
      <c r="C27" s="3" t="s">
        <v>151</v>
      </c>
      <c r="D27" s="3">
        <v>14.470000000000001</v>
      </c>
      <c r="F27" s="3">
        <v>0</v>
      </c>
      <c r="G27" s="3">
        <v>14.470000000000001</v>
      </c>
      <c r="H27" s="3" t="s">
        <v>21</v>
      </c>
      <c r="I27" s="3">
        <v>6</v>
      </c>
      <c r="J27" s="3" t="s">
        <v>128</v>
      </c>
      <c r="K27" s="3" t="s">
        <v>23</v>
      </c>
      <c r="L27" s="3" t="s">
        <v>24</v>
      </c>
      <c r="M27" s="3" t="s">
        <v>152</v>
      </c>
      <c r="N27" s="3" t="s">
        <v>153</v>
      </c>
      <c r="O27" s="3" t="s">
        <v>154</v>
      </c>
      <c r="P27" s="3" t="s">
        <v>98</v>
      </c>
      <c r="Q27" s="3" t="s">
        <v>29</v>
      </c>
      <c r="R27" s="3" t="s">
        <v>98</v>
      </c>
    </row>
    <row r="28">
      <c r="A28" s="3" t="s">
        <v>155</v>
      </c>
      <c r="B28" s="2" t="s">
        <v>156</v>
      </c>
      <c r="C28" s="3" t="s">
        <v>157</v>
      </c>
      <c r="D28" s="3">
        <v>206.40000000000001</v>
      </c>
      <c r="F28" s="3">
        <v>37.149999999999999</v>
      </c>
      <c r="G28" s="3">
        <f>D28+F28</f>
        <v>243.55000000000001</v>
      </c>
      <c r="H28" s="3" t="s">
        <v>21</v>
      </c>
      <c r="I28" s="3">
        <v>7</v>
      </c>
      <c r="J28" s="3" t="s">
        <v>128</v>
      </c>
      <c r="K28" s="3" t="s">
        <v>23</v>
      </c>
      <c r="L28" s="3" t="s">
        <v>24</v>
      </c>
      <c r="M28" s="3" t="s">
        <v>158</v>
      </c>
      <c r="N28" s="3" t="s">
        <v>159</v>
      </c>
      <c r="O28" s="3" t="s">
        <v>160</v>
      </c>
      <c r="P28" s="3" t="s">
        <v>161</v>
      </c>
      <c r="Q28" s="3" t="s">
        <v>162</v>
      </c>
      <c r="R28" s="3" t="s">
        <v>163</v>
      </c>
    </row>
    <row r="29">
      <c r="A29" s="3" t="s">
        <v>155</v>
      </c>
      <c r="B29" t="s">
        <v>156</v>
      </c>
      <c r="C29" s="3" t="s">
        <v>164</v>
      </c>
      <c r="D29" s="3">
        <v>24</v>
      </c>
      <c r="F29" s="3">
        <v>0</v>
      </c>
      <c r="G29" s="3">
        <v>24</v>
      </c>
      <c r="H29" s="3" t="s">
        <v>21</v>
      </c>
      <c r="I29" s="3">
        <v>7</v>
      </c>
      <c r="J29" s="3" t="s">
        <v>128</v>
      </c>
      <c r="K29" s="3" t="s">
        <v>23</v>
      </c>
      <c r="L29" s="3" t="s">
        <v>24</v>
      </c>
      <c r="M29" s="3" t="s">
        <v>158</v>
      </c>
      <c r="N29" s="3" t="s">
        <v>159</v>
      </c>
      <c r="O29" s="3" t="s">
        <v>160</v>
      </c>
      <c r="P29" s="3" t="s">
        <v>161</v>
      </c>
      <c r="Q29" s="3" t="s">
        <v>162</v>
      </c>
      <c r="R29" s="3" t="s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James Fenech</cp:lastModifiedBy>
  <dcterms:created xsi:type="dcterms:W3CDTF">2026-01-23T08:36:46Z</dcterms:created>
  <dcterms:modified xsi:type="dcterms:W3CDTF">2026-01-25T12:20:41Z</dcterms:modified>
</cp:coreProperties>
</file>